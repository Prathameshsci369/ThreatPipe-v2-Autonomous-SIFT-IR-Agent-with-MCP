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 Truth" sheetId="1" state="visible" r:id="rId1"/>
    <sheet xmlns:r="http://schemas.openxmlformats.org/officeDocument/2006/relationships" name="Metrics &amp; Precision-Rec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8B0000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5F5F5"/>
      </patternFill>
    </fill>
    <fill>
      <patternFill patternType="solid">
        <fgColor rgb="00FF4444"/>
      </patternFill>
    </fill>
    <fill>
      <patternFill patternType="solid">
        <fgColor rgb="00FFFFFF"/>
      </patternFill>
    </fill>
    <fill>
      <patternFill patternType="solid">
        <fgColor rgb="00FF8C00"/>
      </patternFill>
    </fill>
    <fill>
      <patternFill patternType="solid">
        <fgColor rgb="00228B22"/>
      </patternFill>
    </fill>
    <fill>
      <patternFill patternType="solid">
        <fgColor rgb="00FFD700"/>
      </patternFill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1" fillId="6" borderId="1" applyAlignment="1" pivotButton="0" quotePrefix="0" xfId="0">
      <alignment vertical="center" wrapText="1"/>
    </xf>
    <xf numFmtId="0" fontId="1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/>
    </xf>
    <xf numFmtId="0" fontId="8" fillId="2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/>
    </xf>
    <xf numFmtId="164" fontId="5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45" customWidth="1" min="4" max="4"/>
    <col width="26" customWidth="1" min="5" max="5"/>
    <col width="36" customWidth="1" min="6" max="6"/>
    <col width="16" customWidth="1" min="7" max="7"/>
    <col width="30" customWidth="1" min="8" max="8"/>
    <col width="14" customWidth="1" min="9" max="9"/>
    <col width="16" customWidth="1" min="10" max="10"/>
    <col width="42" customWidth="1" min="11" max="11"/>
    <col width="16" customWidth="1" min="12" max="12"/>
    <col width="14" customWidth="1" min="13" max="13"/>
    <col width="32" customWidth="1" min="14" max="14"/>
    <col width="32" customWidth="1" min="15" max="15"/>
    <col width="24" customWidth="1" min="16" max="16"/>
    <col width="34" customWidth="1" min="17" max="17"/>
    <col width="20" customWidth="1" min="18" max="18"/>
    <col width="12" customWidth="1" min="19" max="19"/>
    <col width="38" customWidth="1" min="20" max="20"/>
  </cols>
  <sheetData>
    <row r="1" ht="32" customHeight="1">
      <c r="A1" s="1" t="inlineStr">
        <is>
          <t>ID</t>
        </is>
      </c>
      <c r="B1" s="1" t="inlineStr">
        <is>
          <t>IP Address</t>
        </is>
      </c>
      <c r="C1" s="1" t="inlineStr">
        <is>
          <t>Log Format</t>
        </is>
      </c>
      <c r="D1" s="1" t="inlineStr">
        <is>
          <t>Log Snippet (Truncated)</t>
        </is>
      </c>
      <c r="E1" s="1" t="inlineStr">
        <is>
          <t>Attack Type</t>
        </is>
      </c>
      <c r="F1" s="1" t="inlineStr">
        <is>
          <t>MITRE Technique</t>
        </is>
      </c>
      <c r="G1" s="1" t="inlineStr">
        <is>
          <t>Kill Chain Stage</t>
        </is>
      </c>
      <c r="H1" s="1" t="inlineStr">
        <is>
          <t>Artifact File</t>
        </is>
      </c>
      <c r="I1" s="1" t="inlineStr">
        <is>
          <t>Artifact on Disk?</t>
        </is>
      </c>
      <c r="J1" s="1" t="inlineStr">
        <is>
          <t>SIFT Tool Used</t>
        </is>
      </c>
      <c r="K1" s="1" t="inlineStr">
        <is>
          <t>SIFT Output Summary</t>
        </is>
      </c>
      <c r="L1" s="1" t="inlineStr">
        <is>
          <t>Expected Verdict</t>
        </is>
      </c>
      <c r="M1" s="1" t="inlineStr">
        <is>
          <t>Actual Verdict</t>
        </is>
      </c>
      <c r="N1" s="1" t="inlineStr">
        <is>
          <t>Lens 1 — Hacker</t>
        </is>
      </c>
      <c r="O1" s="1" t="inlineStr">
        <is>
          <t>Lens 2 — Temporal</t>
        </is>
      </c>
      <c r="P1" s="1" t="inlineStr">
        <is>
          <t>Lens 3 — Kill Chain</t>
        </is>
      </c>
      <c r="Q1" s="1" t="inlineStr">
        <is>
          <t>Lens 4 — Analyst</t>
        </is>
      </c>
      <c r="R1" s="1" t="inlineStr">
        <is>
          <t>Self-Correction Cycles</t>
        </is>
      </c>
      <c r="S1" s="1" t="inlineStr">
        <is>
          <t>Match (Y/N)</t>
        </is>
      </c>
      <c r="T1" s="1" t="inlineStr">
        <is>
          <t>Notes</t>
        </is>
      </c>
    </row>
    <row r="2" ht="36" customHeight="1">
      <c r="A2" s="2" t="n">
        <v>1</v>
      </c>
      <c r="B2" s="2" t="inlineStr">
        <is>
          <t>192.168.1.55</t>
        </is>
      </c>
      <c r="C2" s="2" t="inlineStr">
        <is>
          <t>Apache/Nginx</t>
        </is>
      </c>
      <c r="D2" s="2" t="inlineStr">
        <is>
          <t>GET /.env HTTP/1.1 200</t>
        </is>
      </c>
      <c r="E2" s="2" t="inlineStr">
        <is>
          <t>Sensitive File Probe</t>
        </is>
      </c>
      <c r="F2" s="2" t="inlineStr">
        <is>
          <t>T1083 - File Discovery</t>
        </is>
      </c>
      <c r="G2" s="2" t="inlineStr">
        <is>
          <t>RECON</t>
        </is>
      </c>
      <c r="H2" s="2" t="inlineStr">
        <is>
          <t>.env</t>
        </is>
      </c>
      <c r="I2" s="2" t="inlineStr">
        <is>
          <t>True</t>
        </is>
      </c>
      <c r="J2" s="2" t="inlineStr">
        <is>
          <t>grep</t>
        </is>
      </c>
      <c r="K2" s="2" t="inlineStr">
        <is>
          <t>SECRET_KEY, DB_PASSWORD found</t>
        </is>
      </c>
      <c r="L2" s="3" t="inlineStr">
        <is>
          <t>MALICIOUS</t>
        </is>
      </c>
      <c r="M2" s="3" t="inlineStr">
        <is>
          <t>MALICIOUS</t>
        </is>
      </c>
      <c r="N2" s="2" t="inlineStr">
        <is>
          <t>Credentials exposed</t>
        </is>
      </c>
      <c r="O2" s="2" t="inlineStr">
        <is>
          <t>Aligns with attack window</t>
        </is>
      </c>
      <c r="P2" s="2" t="inlineStr">
        <is>
          <t>RECON</t>
        </is>
      </c>
      <c r="Q2" s="2" t="inlineStr">
        <is>
          <t>Confirmed credential exfil risk</t>
        </is>
      </c>
      <c r="R2" s="2" t="n">
        <v>1</v>
      </c>
      <c r="S2" s="2" t="inlineStr">
        <is>
          <t>Y</t>
        </is>
      </c>
      <c r="T2" s="2" t="inlineStr">
        <is>
          <t>Campaign 1 start</t>
        </is>
      </c>
    </row>
    <row r="3" ht="36" customHeight="1">
      <c r="A3" s="4" t="n">
        <v>2</v>
      </c>
      <c r="B3" s="4" t="inlineStr">
        <is>
          <t>192.168.1.55</t>
        </is>
      </c>
      <c r="C3" s="4" t="inlineStr">
        <is>
          <t>Apache/Nginx</t>
        </is>
      </c>
      <c r="D3" s="4" t="inlineStr">
        <is>
          <t>GET /.git/config HTTP/1.1 200</t>
        </is>
      </c>
      <c r="E3" s="4" t="inlineStr">
        <is>
          <t>Sensitive File Probe</t>
        </is>
      </c>
      <c r="F3" s="4" t="inlineStr">
        <is>
          <t>T1083 - File Discovery</t>
        </is>
      </c>
      <c r="G3" s="4" t="inlineStr">
        <is>
          <t>RECON</t>
        </is>
      </c>
      <c r="H3" s="4" t="inlineStr">
        <is>
          <t>.git/config</t>
        </is>
      </c>
      <c r="I3" s="4" t="inlineStr">
        <is>
          <t>True</t>
        </is>
      </c>
      <c r="J3" s="4" t="inlineStr">
        <is>
          <t>grep</t>
        </is>
      </c>
      <c r="K3" s="4" t="inlineStr">
        <is>
          <t>Remote URL with credentials found</t>
        </is>
      </c>
      <c r="L3" s="3" t="inlineStr">
        <is>
          <t>MALICIOUS</t>
        </is>
      </c>
      <c r="M3" s="3" t="inlineStr">
        <is>
          <t>MALICIOUS</t>
        </is>
      </c>
      <c r="N3" s="4" t="inlineStr">
        <is>
          <t>Repo URL leaks infra</t>
        </is>
      </c>
      <c r="O3" s="4" t="inlineStr">
        <is>
          <t>Aligns with attack window</t>
        </is>
      </c>
      <c r="P3" s="4" t="inlineStr">
        <is>
          <t>RECON</t>
        </is>
      </c>
      <c r="Q3" s="4" t="inlineStr">
        <is>
          <t>Source code exposure confirmed</t>
        </is>
      </c>
      <c r="R3" s="4" t="n">
        <v>1</v>
      </c>
      <c r="S3" s="4" t="inlineStr">
        <is>
          <t>Y</t>
        </is>
      </c>
      <c r="T3" s="4" t="inlineStr"/>
    </row>
    <row r="4" ht="36" customHeight="1">
      <c r="A4" s="2" t="n">
        <v>3</v>
      </c>
      <c r="B4" s="2" t="inlineStr">
        <is>
          <t>192.168.1.55</t>
        </is>
      </c>
      <c r="C4" s="2" t="inlineStr">
        <is>
          <t>Apache/Nginx</t>
        </is>
      </c>
      <c r="D4" s="2" t="inlineStr">
        <is>
          <t>GET /search?q=UNION+SELECT+INTO+OUTFILE HTTP/1.1 200</t>
        </is>
      </c>
      <c r="E4" s="2" t="inlineStr">
        <is>
          <t>SQL Injection</t>
        </is>
      </c>
      <c r="F4" s="2" t="inlineStr">
        <is>
          <t>T1190 - Exploit Public-Facing App</t>
        </is>
      </c>
      <c r="G4" s="2" t="inlineStr">
        <is>
          <t>EXPLOIT</t>
        </is>
      </c>
      <c r="H4" s="2" t="inlineStr">
        <is>
          <t>sqli_dump.php</t>
        </is>
      </c>
      <c r="I4" s="2" t="inlineStr">
        <is>
          <t>True</t>
        </is>
      </c>
      <c r="J4" s="2" t="inlineStr">
        <is>
          <t>strings</t>
        </is>
      </c>
      <c r="K4" s="2" t="inlineStr">
        <is>
          <t>system($_GET['cmd']) found in PHP</t>
        </is>
      </c>
      <c r="L4" s="3" t="inlineStr">
        <is>
          <t>MALICIOUS</t>
        </is>
      </c>
      <c r="M4" s="3" t="inlineStr">
        <is>
          <t>MALICIOUS</t>
        </is>
      </c>
      <c r="N4" s="2" t="inlineStr">
        <is>
          <t>RCE via web shell drop</t>
        </is>
      </c>
      <c r="O4" s="2" t="inlineStr">
        <is>
          <t>File created during attack</t>
        </is>
      </c>
      <c r="P4" s="2" t="inlineStr">
        <is>
          <t>EXPLOIT</t>
        </is>
      </c>
      <c r="Q4" s="2" t="inlineStr">
        <is>
          <t>Active compromise via SQLi</t>
        </is>
      </c>
      <c r="R4" s="2" t="n">
        <v>2</v>
      </c>
      <c r="S4" s="2" t="inlineStr">
        <is>
          <t>Y</t>
        </is>
      </c>
      <c r="T4" s="2" t="inlineStr">
        <is>
          <t>SQLi → webshell drop chain</t>
        </is>
      </c>
    </row>
    <row r="5" ht="36" customHeight="1">
      <c r="A5" s="4" t="n">
        <v>4</v>
      </c>
      <c r="B5" s="4" t="inlineStr">
        <is>
          <t>192.168.1.55</t>
        </is>
      </c>
      <c r="C5" s="4" t="inlineStr">
        <is>
          <t>Apache/Nginx</t>
        </is>
      </c>
      <c r="D5" s="4" t="inlineStr">
        <is>
          <t>POST /upload.php HTTP/1.1 200</t>
        </is>
      </c>
      <c r="E5" s="4" t="inlineStr">
        <is>
          <t>Malicious File Upload</t>
        </is>
      </c>
      <c r="F5" s="4" t="inlineStr">
        <is>
          <t>T1505.003 - Web Shell</t>
        </is>
      </c>
      <c r="G5" s="4" t="inlineStr">
        <is>
          <t>EXPLOIT</t>
        </is>
      </c>
      <c r="H5" s="4" t="inlineStr">
        <is>
          <t>shell.php</t>
        </is>
      </c>
      <c r="I5" s="4" t="inlineStr">
        <is>
          <t>True</t>
        </is>
      </c>
      <c r="J5" s="4" t="inlineStr">
        <is>
          <t>strings</t>
        </is>
      </c>
      <c r="K5" s="4" t="inlineStr">
        <is>
          <t>system($_GET['cmd']) confirmed</t>
        </is>
      </c>
      <c r="L5" s="3" t="inlineStr">
        <is>
          <t>MALICIOUS</t>
        </is>
      </c>
      <c r="M5" s="3" t="inlineStr">
        <is>
          <t>MALICIOUS</t>
        </is>
      </c>
      <c r="N5" s="4" t="inlineStr">
        <is>
          <t>Direct shell upload</t>
        </is>
      </c>
      <c r="O5" s="4" t="inlineStr">
        <is>
          <t>Upload time matches POST log</t>
        </is>
      </c>
      <c r="P5" s="4" t="inlineStr">
        <is>
          <t>EXPLOIT</t>
        </is>
      </c>
      <c r="Q5" s="4" t="inlineStr">
        <is>
          <t>Web shell deployed</t>
        </is>
      </c>
      <c r="R5" s="4" t="n">
        <v>1</v>
      </c>
      <c r="S5" s="4" t="inlineStr">
        <is>
          <t>Y</t>
        </is>
      </c>
      <c r="T5" s="4" t="inlineStr"/>
    </row>
    <row r="6" ht="36" customHeight="1">
      <c r="A6" s="2" t="n">
        <v>5</v>
      </c>
      <c r="B6" s="2" t="inlineStr">
        <is>
          <t>192.168.1.55</t>
        </is>
      </c>
      <c r="C6" s="2" t="inlineStr">
        <is>
          <t>Apache/Nginx</t>
        </is>
      </c>
      <c r="D6" s="2" t="inlineStr">
        <is>
          <t>GET /shell.php?cmd=id HTTP/1.1 200</t>
        </is>
      </c>
      <c r="E6" s="2" t="inlineStr">
        <is>
          <t>Web Shell Execution</t>
        </is>
      </c>
      <c r="F6" s="2" t="inlineStr">
        <is>
          <t>T1059 - Command and Scripting Interpreter</t>
        </is>
      </c>
      <c r="G6" s="2" t="inlineStr">
        <is>
          <t>EXPLOIT</t>
        </is>
      </c>
      <c r="H6" s="2" t="inlineStr">
        <is>
          <t>shell.php</t>
        </is>
      </c>
      <c r="I6" s="2" t="inlineStr">
        <is>
          <t>True</t>
        </is>
      </c>
      <c r="J6" s="2" t="inlineStr">
        <is>
          <t>strings</t>
        </is>
      </c>
      <c r="K6" s="2" t="inlineStr">
        <is>
          <t>system($_GET['cmd']) confirmed</t>
        </is>
      </c>
      <c r="L6" s="3" t="inlineStr">
        <is>
          <t>MALICIOUS</t>
        </is>
      </c>
      <c r="M6" s="3" t="inlineStr">
        <is>
          <t>MALICIOUS</t>
        </is>
      </c>
      <c r="N6" s="2" t="inlineStr">
        <is>
          <t>RCE achieved</t>
        </is>
      </c>
      <c r="O6" s="2" t="inlineStr">
        <is>
          <t>Post-upload execution</t>
        </is>
      </c>
      <c r="P6" s="2" t="inlineStr">
        <is>
          <t>EXPLOIT</t>
        </is>
      </c>
      <c r="Q6" s="2" t="inlineStr">
        <is>
          <t>Active RCE via PHP web shell</t>
        </is>
      </c>
      <c r="R6" s="2" t="n">
        <v>1</v>
      </c>
      <c r="S6" s="2" t="inlineStr">
        <is>
          <t>Y</t>
        </is>
      </c>
      <c r="T6" s="2" t="inlineStr">
        <is>
          <t>Confirmed web shell</t>
        </is>
      </c>
    </row>
    <row r="7" ht="36" customHeight="1">
      <c r="A7" s="4" t="n">
        <v>6</v>
      </c>
      <c r="B7" s="4" t="inlineStr">
        <is>
          <t>192.168.1.55</t>
        </is>
      </c>
      <c r="C7" s="4" t="inlineStr">
        <is>
          <t>Apache/Nginx</t>
        </is>
      </c>
      <c r="D7" s="4" t="inlineStr">
        <is>
          <t>GET /cache.php HTTP/1.1 200</t>
        </is>
      </c>
      <c r="E7" s="4" t="inlineStr">
        <is>
          <t>Obfuscated Web Shell</t>
        </is>
      </c>
      <c r="F7" s="4" t="inlineStr">
        <is>
          <t>T1027 - Obfuscated Files</t>
        </is>
      </c>
      <c r="G7" s="4" t="inlineStr">
        <is>
          <t>EXPLOIT</t>
        </is>
      </c>
      <c r="H7" s="4" t="inlineStr">
        <is>
          <t>cache.php</t>
        </is>
      </c>
      <c r="I7" s="4" t="inlineStr">
        <is>
          <t>True</t>
        </is>
      </c>
      <c r="J7" s="4" t="inlineStr">
        <is>
          <t>strings</t>
        </is>
      </c>
      <c r="K7" s="4" t="inlineStr">
        <is>
          <t>base64_decode + eval chain found</t>
        </is>
      </c>
      <c r="L7" s="3" t="inlineStr">
        <is>
          <t>MALICIOUS</t>
        </is>
      </c>
      <c r="M7" s="3" t="inlineStr">
        <is>
          <t>MALICIOUS</t>
        </is>
      </c>
      <c r="N7" s="4" t="inlineStr">
        <is>
          <t>Base64 obfuscated shell</t>
        </is>
      </c>
      <c r="O7" s="4" t="inlineStr">
        <is>
          <t>Active during attack</t>
        </is>
      </c>
      <c r="P7" s="4" t="inlineStr">
        <is>
          <t>EXPLOIT</t>
        </is>
      </c>
      <c r="Q7" s="4" t="inlineStr">
        <is>
          <t>Obfuscated backdoor active</t>
        </is>
      </c>
      <c r="R7" s="4" t="n">
        <v>2</v>
      </c>
      <c r="S7" s="4" t="inlineStr">
        <is>
          <t>Y</t>
        </is>
      </c>
      <c r="T7" s="4" t="inlineStr">
        <is>
          <t>base64/eval chain</t>
        </is>
      </c>
    </row>
    <row r="8" ht="36" customHeight="1">
      <c r="A8" s="2" t="n">
        <v>7</v>
      </c>
      <c r="B8" s="2" t="inlineStr">
        <is>
          <t>192.168.1.55</t>
        </is>
      </c>
      <c r="C8" s="2" t="inlineStr">
        <is>
          <t>Apache/Nginx</t>
        </is>
      </c>
      <c r="D8" s="2" t="inlineStr">
        <is>
          <t>GET /images/evil.png HTTP/1.1 200</t>
        </is>
      </c>
      <c r="E8" s="2" t="inlineStr">
        <is>
          <t>Polyglot File Execution</t>
        </is>
      </c>
      <c r="F8" s="2" t="inlineStr">
        <is>
          <t>T1027 - Obfuscated Files</t>
        </is>
      </c>
      <c r="G8" s="2" t="inlineStr">
        <is>
          <t>EXPLOIT</t>
        </is>
      </c>
      <c r="H8" s="2" t="inlineStr">
        <is>
          <t>evil.png</t>
        </is>
      </c>
      <c r="I8" s="2" t="inlineStr">
        <is>
          <t>True</t>
        </is>
      </c>
      <c r="J8" s="2" t="inlineStr">
        <is>
          <t>file+strings</t>
        </is>
      </c>
      <c r="K8" s="2" t="inlineStr">
        <is>
          <t>file: JPEG, strings: &lt;?php system found</t>
        </is>
      </c>
      <c r="L8" s="3" t="inlineStr">
        <is>
          <t>MALICIOUS</t>
        </is>
      </c>
      <c r="M8" s="3" t="inlineStr">
        <is>
          <t>MALICIOUS</t>
        </is>
      </c>
      <c r="N8" s="2" t="inlineStr">
        <is>
          <t>Image bypass WAF + PHP exec</t>
        </is>
      </c>
      <c r="O8" s="2" t="inlineStr">
        <is>
          <t>Served during active session</t>
        </is>
      </c>
      <c r="P8" s="2" t="inlineStr">
        <is>
          <t>EXPLOIT</t>
        </is>
      </c>
      <c r="Q8" s="2" t="inlineStr">
        <is>
          <t>Polyglot payload confirmed</t>
        </is>
      </c>
      <c r="R8" s="2" t="n">
        <v>3</v>
      </c>
      <c r="S8" s="2" t="inlineStr">
        <is>
          <t>Y</t>
        </is>
      </c>
      <c r="T8" s="2" t="inlineStr">
        <is>
          <t>file vs strings mismatch = polyglot</t>
        </is>
      </c>
    </row>
    <row r="9" ht="36" customHeight="1">
      <c r="A9" s="4" t="n">
        <v>8</v>
      </c>
      <c r="B9" s="4" t="inlineStr">
        <is>
          <t>192.168.1.55</t>
        </is>
      </c>
      <c r="C9" s="4" t="inlineStr">
        <is>
          <t>Apache/Nginx</t>
        </is>
      </c>
      <c r="D9" s="4" t="inlineStr">
        <is>
          <t>GET /cron_setup.sh HTTP/1.1 200</t>
        </is>
      </c>
      <c r="E9" s="4" t="inlineStr">
        <is>
          <t>Persistence Script Download</t>
        </is>
      </c>
      <c r="F9" s="4" t="inlineStr">
        <is>
          <t>T1053.003 - Cron Job</t>
        </is>
      </c>
      <c r="G9" s="4" t="inlineStr">
        <is>
          <t>PERSIST</t>
        </is>
      </c>
      <c r="H9" s="4" t="inlineStr">
        <is>
          <t>cron_setup.sh</t>
        </is>
      </c>
      <c r="I9" s="4" t="inlineStr">
        <is>
          <t>True</t>
        </is>
      </c>
      <c r="J9" s="4" t="inlineStr">
        <is>
          <t>strings</t>
        </is>
      </c>
      <c r="K9" s="4" t="inlineStr">
        <is>
          <t>crontab reverse shell payload found</t>
        </is>
      </c>
      <c r="L9" s="3" t="inlineStr">
        <is>
          <t>MALICIOUS</t>
        </is>
      </c>
      <c r="M9" s="3" t="inlineStr">
        <is>
          <t>MALICIOUS</t>
        </is>
      </c>
      <c r="N9" s="4" t="inlineStr">
        <is>
          <t>Persistence via cron</t>
        </is>
      </c>
      <c r="O9" s="4" t="inlineStr">
        <is>
          <t>Post-shell download</t>
        </is>
      </c>
      <c r="P9" s="4" t="inlineStr">
        <is>
          <t>PERSIST</t>
        </is>
      </c>
      <c r="Q9" s="4" t="inlineStr">
        <is>
          <t>Cron-based reverse shell confirmed</t>
        </is>
      </c>
      <c r="R9" s="4" t="n">
        <v>1</v>
      </c>
      <c r="S9" s="4" t="inlineStr">
        <is>
          <t>Y</t>
        </is>
      </c>
      <c r="T9" s="4" t="inlineStr"/>
    </row>
    <row r="10" ht="36" customHeight="1">
      <c r="A10" s="2" t="n">
        <v>9</v>
      </c>
      <c r="B10" s="2" t="inlineStr">
        <is>
          <t>192.168.1.55</t>
        </is>
      </c>
      <c r="C10" s="2" t="inlineStr">
        <is>
          <t>FTP (ProFTPD)</t>
        </is>
      </c>
      <c r="D10" s="2" t="inlineStr">
        <is>
          <t>RETR /backup/db_dump.sql</t>
        </is>
      </c>
      <c r="E10" s="2" t="inlineStr">
        <is>
          <t>Data Exfiltration via FTP</t>
        </is>
      </c>
      <c r="F10" s="2" t="inlineStr">
        <is>
          <t>T1048 - Exfiltration Over Alt Protocol</t>
        </is>
      </c>
      <c r="G10" s="2" t="inlineStr">
        <is>
          <t>EXFIL</t>
        </is>
      </c>
      <c r="H10" s="2" t="inlineStr">
        <is>
          <t>db_dump.sql</t>
        </is>
      </c>
      <c r="I10" s="2" t="inlineStr">
        <is>
          <t>True</t>
        </is>
      </c>
      <c r="J10" s="2" t="inlineStr">
        <is>
          <t>strings</t>
        </is>
      </c>
      <c r="K10" s="2" t="inlineStr">
        <is>
          <t>MySQL dump credentials found</t>
        </is>
      </c>
      <c r="L10" s="5" t="inlineStr">
        <is>
          <t>SUSPICIOUS</t>
        </is>
      </c>
      <c r="M10" s="5" t="inlineStr">
        <is>
          <t>SUSPICIOUS</t>
        </is>
      </c>
      <c r="N10" s="2" t="inlineStr">
        <is>
          <t>DB backup stolen via FTP</t>
        </is>
      </c>
      <c r="O10" s="2" t="inlineStr">
        <is>
          <t>End of kill chain timing</t>
        </is>
      </c>
      <c r="P10" s="2" t="inlineStr">
        <is>
          <t>EXFIL</t>
        </is>
      </c>
      <c r="Q10" s="2" t="inlineStr">
        <is>
          <t>Data exfil confirmed</t>
        </is>
      </c>
      <c r="R10" s="2" t="n">
        <v>3</v>
      </c>
      <c r="S10" s="2" t="inlineStr">
        <is>
          <t>Y</t>
        </is>
      </c>
      <c r="T10" s="2" t="inlineStr">
        <is>
          <t>FTP path bug fixed — now working</t>
        </is>
      </c>
    </row>
    <row r="11" ht="36" customHeight="1">
      <c r="A11" s="4" t="n">
        <v>10</v>
      </c>
      <c r="B11" s="4" t="inlineStr">
        <is>
          <t>192.168.1.55</t>
        </is>
      </c>
      <c r="C11" s="4" t="inlineStr">
        <is>
          <t>Apache/Nginx</t>
        </is>
      </c>
      <c r="D11" s="4" t="inlineStr">
        <is>
          <t>GET /cmd.jsp?exec=whoami HTTP/1.1 200</t>
        </is>
      </c>
      <c r="E11" s="4" t="inlineStr">
        <is>
          <t>JSP Web Shell Execution</t>
        </is>
      </c>
      <c r="F11" s="4" t="inlineStr">
        <is>
          <t>T1059 - Command and Scripting Interpreter</t>
        </is>
      </c>
      <c r="G11" s="4" t="inlineStr">
        <is>
          <t>EXPLOIT</t>
        </is>
      </c>
      <c r="H11" s="4" t="inlineStr">
        <is>
          <t>cmd.jsp</t>
        </is>
      </c>
      <c r="I11" s="4" t="inlineStr">
        <is>
          <t>True</t>
        </is>
      </c>
      <c r="J11" s="4" t="inlineStr">
        <is>
          <t>strings</t>
        </is>
      </c>
      <c r="K11" s="4" t="inlineStr">
        <is>
          <t>Runtime.exec call found</t>
        </is>
      </c>
      <c r="L11" s="3" t="inlineStr">
        <is>
          <t>MALICIOUS</t>
        </is>
      </c>
      <c r="M11" s="3" t="inlineStr">
        <is>
          <t>MALICIOUS</t>
        </is>
      </c>
      <c r="N11" s="4" t="inlineStr">
        <is>
          <t>JSP RCE shell</t>
        </is>
      </c>
      <c r="O11" s="4" t="inlineStr">
        <is>
          <t>Active during session</t>
        </is>
      </c>
      <c r="P11" s="4" t="inlineStr">
        <is>
          <t>EXPLOIT</t>
        </is>
      </c>
      <c r="Q11" s="4" t="inlineStr">
        <is>
          <t>JSP shell confirmed</t>
        </is>
      </c>
      <c r="R11" s="4" t="n">
        <v>1</v>
      </c>
      <c r="S11" s="4" t="inlineStr">
        <is>
          <t>Y</t>
        </is>
      </c>
      <c r="T11" s="4" t="inlineStr"/>
    </row>
    <row r="12" ht="36" customHeight="1">
      <c r="A12" s="2" t="n">
        <v>11</v>
      </c>
      <c r="B12" s="2" t="inlineStr">
        <is>
          <t>192.168.1.55</t>
        </is>
      </c>
      <c r="C12" s="2" t="inlineStr">
        <is>
          <t>Apache/Nginx</t>
        </is>
      </c>
      <c r="D12" s="2" t="inlineStr">
        <is>
          <t>GET /rev.py HTTP/1.1 200</t>
        </is>
      </c>
      <c r="E12" s="2" t="inlineStr">
        <is>
          <t>Reverse Shell Script</t>
        </is>
      </c>
      <c r="F12" s="2" t="inlineStr">
        <is>
          <t>T1059.006 - Python</t>
        </is>
      </c>
      <c r="G12" s="2" t="inlineStr">
        <is>
          <t>EXPLOIT</t>
        </is>
      </c>
      <c r="H12" s="2" t="inlineStr">
        <is>
          <t>rev.py</t>
        </is>
      </c>
      <c r="I12" s="2" t="inlineStr">
        <is>
          <t>True</t>
        </is>
      </c>
      <c r="J12" s="2" t="inlineStr">
        <is>
          <t>strings</t>
        </is>
      </c>
      <c r="K12" s="2" t="inlineStr">
        <is>
          <t>socket.connect C2 IP found</t>
        </is>
      </c>
      <c r="L12" s="3" t="inlineStr">
        <is>
          <t>MALICIOUS</t>
        </is>
      </c>
      <c r="M12" s="3" t="inlineStr">
        <is>
          <t>MALICIOUS</t>
        </is>
      </c>
      <c r="N12" s="2" t="inlineStr">
        <is>
          <t>Python reverse shell to C2</t>
        </is>
      </c>
      <c r="O12" s="2" t="inlineStr">
        <is>
          <t>Downloaded in attack window</t>
        </is>
      </c>
      <c r="P12" s="2" t="inlineStr">
        <is>
          <t>EXPLOIT</t>
        </is>
      </c>
      <c r="Q12" s="2" t="inlineStr">
        <is>
          <t>Reverse shell script confirmed</t>
        </is>
      </c>
      <c r="R12" s="2" t="n">
        <v>1</v>
      </c>
      <c r="S12" s="2" t="inlineStr">
        <is>
          <t>Y</t>
        </is>
      </c>
      <c r="T12" s="2" t="inlineStr"/>
    </row>
    <row r="13" ht="36" customHeight="1">
      <c r="A13" s="4" t="n">
        <v>12</v>
      </c>
      <c r="B13" s="4" t="inlineStr">
        <is>
          <t>192.168.1.55</t>
        </is>
      </c>
      <c r="C13" s="4" t="inlineStr">
        <is>
          <t>Apache/Nginx</t>
        </is>
      </c>
      <c r="D13" s="4" t="inlineStr">
        <is>
          <t>GET /rev_shell.elf HTTP/1.1 200</t>
        </is>
      </c>
      <c r="E13" s="4" t="inlineStr">
        <is>
          <t>Compiled ELF Reverse Shell</t>
        </is>
      </c>
      <c r="F13" s="4" t="inlineStr">
        <is>
          <t>T1059.004 - Unix Shell</t>
        </is>
      </c>
      <c r="G13" s="4" t="inlineStr">
        <is>
          <t>EXPLOIT</t>
        </is>
      </c>
      <c r="H13" s="4" t="inlineStr">
        <is>
          <t>rev_shell.elf</t>
        </is>
      </c>
      <c r="I13" s="4" t="inlineStr">
        <is>
          <t>True</t>
        </is>
      </c>
      <c r="J13" s="4" t="inlineStr">
        <is>
          <t>file+strings</t>
        </is>
      </c>
      <c r="K13" s="4" t="inlineStr">
        <is>
          <t>ELF 64-bit, connect syscall pattern</t>
        </is>
      </c>
      <c r="L13" s="3" t="inlineStr">
        <is>
          <t>MALICIOUS</t>
        </is>
      </c>
      <c r="M13" s="3" t="inlineStr">
        <is>
          <t>MALICIOUS</t>
        </is>
      </c>
      <c r="N13" s="4" t="inlineStr">
        <is>
          <t>Compiled binary reverse shell</t>
        </is>
      </c>
      <c r="O13" s="4" t="inlineStr">
        <is>
          <t>Binary dropped during attack</t>
        </is>
      </c>
      <c r="P13" s="4" t="inlineStr">
        <is>
          <t>EXPLOIT</t>
        </is>
      </c>
      <c r="Q13" s="4" t="inlineStr">
        <is>
          <t>ELF reverse shell confirmed</t>
        </is>
      </c>
      <c r="R13" s="4" t="n">
        <v>2</v>
      </c>
      <c r="S13" s="4" t="inlineStr">
        <is>
          <t>Y</t>
        </is>
      </c>
      <c r="T13" s="4" t="inlineStr"/>
    </row>
    <row r="14" ht="36" customHeight="1">
      <c r="A14" s="2" t="n">
        <v>13</v>
      </c>
      <c r="B14" s="2" t="inlineStr">
        <is>
          <t>10.0.0.42</t>
        </is>
      </c>
      <c r="C14" s="2" t="inlineStr">
        <is>
          <t>Apache/Nginx</t>
        </is>
      </c>
      <c r="D14" s="2" t="inlineStr">
        <is>
          <t>GET /c99.php HTTP/1.1 404</t>
        </is>
      </c>
      <c r="E14" s="2" t="inlineStr">
        <is>
          <t>Directory Brute Force</t>
        </is>
      </c>
      <c r="F14" s="2" t="inlineStr">
        <is>
          <t>T1595 - Active Scanning</t>
        </is>
      </c>
      <c r="G14" s="2" t="inlineStr">
        <is>
          <t>RECON</t>
        </is>
      </c>
      <c r="H14" s="2" t="inlineStr">
        <is>
          <t>c99.php</t>
        </is>
      </c>
      <c r="I14" s="2" t="inlineStr">
        <is>
          <t>False</t>
        </is>
      </c>
      <c r="J14" s="2" t="inlineStr">
        <is>
          <t>grep</t>
        </is>
      </c>
      <c r="K14" s="2" t="inlineStr">
        <is>
          <t>No such file or directory</t>
        </is>
      </c>
      <c r="L14" s="6" t="inlineStr">
        <is>
          <t>BENIGN</t>
        </is>
      </c>
      <c r="M14" s="6" t="inlineStr">
        <is>
          <t>BENIGN</t>
        </is>
      </c>
      <c r="N14" s="2" t="inlineStr">
        <is>
          <t>Tool probe — file absent</t>
        </is>
      </c>
      <c r="O14" s="2" t="inlineStr">
        <is>
          <t>Pre-compromise scan</t>
        </is>
      </c>
      <c r="P14" s="2" t="inlineStr">
        <is>
          <t>RECON</t>
        </is>
      </c>
      <c r="Q14" s="2" t="inlineStr">
        <is>
          <t>Attempt not compromise — BENIGN</t>
        </is>
      </c>
      <c r="R14" s="2" t="n">
        <v>2</v>
      </c>
      <c r="S14" s="2" t="inlineStr">
        <is>
          <t>Y</t>
        </is>
      </c>
      <c r="T14" s="2" t="inlineStr">
        <is>
          <t>Critical design: Attempt ≠ Compromise</t>
        </is>
      </c>
    </row>
    <row r="15" ht="36" customHeight="1">
      <c r="A15" s="4" t="n">
        <v>14</v>
      </c>
      <c r="B15" s="4" t="inlineStr">
        <is>
          <t>10.0.0.42</t>
        </is>
      </c>
      <c r="C15" s="4" t="inlineStr">
        <is>
          <t>Apache/Nginx</t>
        </is>
      </c>
      <c r="D15" s="4" t="inlineStr">
        <is>
          <t>GET /admin.php HTTP/1.1 404</t>
        </is>
      </c>
      <c r="E15" s="4" t="inlineStr">
        <is>
          <t>Directory Brute Force</t>
        </is>
      </c>
      <c r="F15" s="4" t="inlineStr">
        <is>
          <t>T1595 - Active Scanning</t>
        </is>
      </c>
      <c r="G15" s="4" t="inlineStr">
        <is>
          <t>RECON</t>
        </is>
      </c>
      <c r="H15" s="4" t="inlineStr">
        <is>
          <t>admin.php</t>
        </is>
      </c>
      <c r="I15" s="4" t="inlineStr">
        <is>
          <t>False</t>
        </is>
      </c>
      <c r="J15" s="4" t="inlineStr">
        <is>
          <t>grep</t>
        </is>
      </c>
      <c r="K15" s="4" t="inlineStr">
        <is>
          <t>No such file or directory</t>
        </is>
      </c>
      <c r="L15" s="6" t="inlineStr">
        <is>
          <t>BENIGN</t>
        </is>
      </c>
      <c r="M15" s="6" t="inlineStr">
        <is>
          <t>BENIGN</t>
        </is>
      </c>
      <c r="N15" s="4" t="inlineStr">
        <is>
          <t>Admin probe — file absent</t>
        </is>
      </c>
      <c r="O15" s="4" t="inlineStr">
        <is>
          <t>Scanning phase</t>
        </is>
      </c>
      <c r="P15" s="4" t="inlineStr">
        <is>
          <t>RECON</t>
        </is>
      </c>
      <c r="Q15" s="4" t="inlineStr">
        <is>
          <t>No compromise — BENIGN</t>
        </is>
      </c>
      <c r="R15" s="4" t="n">
        <v>1</v>
      </c>
      <c r="S15" s="4" t="inlineStr">
        <is>
          <t>Y</t>
        </is>
      </c>
      <c r="T15" s="4" t="inlineStr">
        <is>
          <t>IP tracked in Mindset Graph</t>
        </is>
      </c>
    </row>
    <row r="16" ht="36" customHeight="1">
      <c r="A16" s="2" t="n">
        <v>15</v>
      </c>
      <c r="B16" s="2" t="inlineStr">
        <is>
          <t>10.0.0.42</t>
        </is>
      </c>
      <c r="C16" s="2" t="inlineStr">
        <is>
          <t>Apache/Nginx</t>
        </is>
      </c>
      <c r="D16" s="2" t="inlineStr">
        <is>
          <t>GET /phpMyAdmin/ HTTP/1.1 404</t>
        </is>
      </c>
      <c r="E16" s="2" t="inlineStr">
        <is>
          <t>Directory Brute Force</t>
        </is>
      </c>
      <c r="F16" s="2" t="inlineStr">
        <is>
          <t>T1595 - Active Scanning</t>
        </is>
      </c>
      <c r="G16" s="2" t="inlineStr">
        <is>
          <t>RECON</t>
        </is>
      </c>
      <c r="H16" s="2" t="inlineStr">
        <is>
          <t>phpMyAdmin</t>
        </is>
      </c>
      <c r="I16" s="2" t="inlineStr">
        <is>
          <t>False</t>
        </is>
      </c>
      <c r="J16" s="2" t="inlineStr">
        <is>
          <t>grep</t>
        </is>
      </c>
      <c r="K16" s="2" t="inlineStr">
        <is>
          <t>No such file or directory</t>
        </is>
      </c>
      <c r="L16" s="6" t="inlineStr">
        <is>
          <t>BENIGN</t>
        </is>
      </c>
      <c r="M16" s="6" t="inlineStr">
        <is>
          <t>BENIGN</t>
        </is>
      </c>
      <c r="N16" s="2" t="inlineStr">
        <is>
          <t>DB admin probe — absent</t>
        </is>
      </c>
      <c r="O16" s="2" t="inlineStr">
        <is>
          <t>Scanning phase</t>
        </is>
      </c>
      <c r="P16" s="2" t="inlineStr">
        <is>
          <t>RECON</t>
        </is>
      </c>
      <c r="Q16" s="2" t="inlineStr">
        <is>
          <t>No artifact — BENIGN</t>
        </is>
      </c>
      <c r="R16" s="2" t="n">
        <v>1</v>
      </c>
      <c r="S16" s="2" t="inlineStr">
        <is>
          <t>Y</t>
        </is>
      </c>
      <c r="T16" s="2" t="inlineStr"/>
    </row>
    <row r="17" ht="36" customHeight="1">
      <c r="A17" s="4" t="n">
        <v>16</v>
      </c>
      <c r="B17" s="4" t="inlineStr">
        <is>
          <t>10.0.0.42</t>
        </is>
      </c>
      <c r="C17" s="4" t="inlineStr">
        <is>
          <t>SSH Auth</t>
        </is>
      </c>
      <c r="D17" s="4" t="inlineStr">
        <is>
          <t>Failed password for root from 10.0.0.42 port 43210</t>
        </is>
      </c>
      <c r="E17" s="4" t="inlineStr">
        <is>
          <t>SSH Brute Force</t>
        </is>
      </c>
      <c r="F17" s="4" t="inlineStr">
        <is>
          <t>T1110 - Brute Force</t>
        </is>
      </c>
      <c r="G17" s="4" t="inlineStr">
        <is>
          <t>RECON</t>
        </is>
      </c>
      <c r="H17" s="4" t="inlineStr">
        <is>
          <t>N/A (remote event)</t>
        </is>
      </c>
      <c r="I17" s="4" t="inlineStr">
        <is>
          <t>False</t>
        </is>
      </c>
      <c r="J17" s="4" t="inlineStr">
        <is>
          <t>grep</t>
        </is>
      </c>
      <c r="K17" s="4" t="inlineStr">
        <is>
          <t>Multiple failed auth attempts</t>
        </is>
      </c>
      <c r="L17" s="5" t="inlineStr">
        <is>
          <t>SUSPICIOUS</t>
        </is>
      </c>
      <c r="M17" s="5" t="inlineStr">
        <is>
          <t>SUSPICIOUS</t>
        </is>
      </c>
      <c r="N17" s="4" t="inlineStr">
        <is>
          <t>Credential stuffing</t>
        </is>
      </c>
      <c r="O17" s="4" t="inlineStr">
        <is>
          <t>Pre-compromise phase</t>
        </is>
      </c>
      <c r="P17" s="4" t="inlineStr">
        <is>
          <t>RECON</t>
        </is>
      </c>
      <c r="Q17" s="4" t="inlineStr">
        <is>
          <t>Brute force pattern confirmed</t>
        </is>
      </c>
      <c r="R17" s="4" t="n">
        <v>2</v>
      </c>
      <c r="S17" s="4" t="inlineStr">
        <is>
          <t>Y</t>
        </is>
      </c>
      <c r="T17" s="4" t="inlineStr">
        <is>
          <t>SSH artifact gap — no disk file</t>
        </is>
      </c>
    </row>
    <row r="18" ht="36" customHeight="1">
      <c r="A18" s="2" t="n">
        <v>17</v>
      </c>
      <c r="B18" s="2" t="inlineStr">
        <is>
          <t>10.0.0.42</t>
        </is>
      </c>
      <c r="C18" s="2" t="inlineStr">
        <is>
          <t>SSH Auth</t>
        </is>
      </c>
      <c r="D18" s="2" t="inlineStr">
        <is>
          <t>Failed password for admin from 10.0.0.42 port 43211</t>
        </is>
      </c>
      <c r="E18" s="2" t="inlineStr">
        <is>
          <t>SSH Brute Force</t>
        </is>
      </c>
      <c r="F18" s="2" t="inlineStr">
        <is>
          <t>T1110 - Brute Force</t>
        </is>
      </c>
      <c r="G18" s="2" t="inlineStr">
        <is>
          <t>RECON</t>
        </is>
      </c>
      <c r="H18" s="2" t="inlineStr">
        <is>
          <t>N/A (remote event)</t>
        </is>
      </c>
      <c r="I18" s="2" t="inlineStr">
        <is>
          <t>False</t>
        </is>
      </c>
      <c r="J18" s="2" t="inlineStr">
        <is>
          <t>grep</t>
        </is>
      </c>
      <c r="K18" s="2" t="inlineStr">
        <is>
          <t>Multiple failed auth attempts</t>
        </is>
      </c>
      <c r="L18" s="5" t="inlineStr">
        <is>
          <t>SUSPICIOUS</t>
        </is>
      </c>
      <c r="M18" s="5" t="inlineStr">
        <is>
          <t>SUSPICIOUS</t>
        </is>
      </c>
      <c r="N18" s="2" t="inlineStr">
        <is>
          <t>Credential stuffing</t>
        </is>
      </c>
      <c r="O18" s="2" t="inlineStr">
        <is>
          <t>Pre-compromise phase</t>
        </is>
      </c>
      <c r="P18" s="2" t="inlineStr">
        <is>
          <t>RECON</t>
        </is>
      </c>
      <c r="Q18" s="2" t="inlineStr">
        <is>
          <t>Brute force pattern confirmed</t>
        </is>
      </c>
      <c r="R18" s="2" t="n">
        <v>1</v>
      </c>
      <c r="S18" s="2" t="inlineStr">
        <is>
          <t>Y</t>
        </is>
      </c>
      <c r="T18" s="2" t="inlineStr"/>
    </row>
    <row r="19" ht="36" customHeight="1">
      <c r="A19" s="4" t="n">
        <v>18</v>
      </c>
      <c r="B19" s="4" t="inlineStr">
        <is>
          <t>10.0.0.42</t>
        </is>
      </c>
      <c r="C19" s="4" t="inlineStr">
        <is>
          <t>SSH Auth</t>
        </is>
      </c>
      <c r="D19" s="4" t="inlineStr">
        <is>
          <t>Accepted password for deploy from 10.0.0.42</t>
        </is>
      </c>
      <c r="E19" s="4" t="inlineStr">
        <is>
          <t>Valid Account Takeover</t>
        </is>
      </c>
      <c r="F19" s="4" t="inlineStr">
        <is>
          <t>T1078 - Valid Accounts</t>
        </is>
      </c>
      <c r="G19" s="4" t="inlineStr">
        <is>
          <t>EXPLOIT</t>
        </is>
      </c>
      <c r="H19" s="4" t="inlineStr">
        <is>
          <t>N/A (remote event)</t>
        </is>
      </c>
      <c r="I19" s="4" t="inlineStr">
        <is>
          <t>False</t>
        </is>
      </c>
      <c r="J19" s="4" t="inlineStr">
        <is>
          <t>grep</t>
        </is>
      </c>
      <c r="K19" s="4" t="inlineStr">
        <is>
          <t>Accepted password after brute force</t>
        </is>
      </c>
      <c r="L19" s="3" t="inlineStr">
        <is>
          <t>MALICIOUS</t>
        </is>
      </c>
      <c r="M19" s="3" t="inlineStr">
        <is>
          <t>MALICIOUS</t>
        </is>
      </c>
      <c r="N19" s="4" t="inlineStr">
        <is>
          <t>Valid cred — pivot point</t>
        </is>
      </c>
      <c r="O19" s="4" t="inlineStr">
        <is>
          <t>Immediately after brute force</t>
        </is>
      </c>
      <c r="P19" s="4" t="inlineStr">
        <is>
          <t>EXPLOIT</t>
        </is>
      </c>
      <c r="Q19" s="4" t="inlineStr">
        <is>
          <t>Account compromise confirmed</t>
        </is>
      </c>
      <c r="R19" s="4" t="n">
        <v>2</v>
      </c>
      <c r="S19" s="4" t="inlineStr">
        <is>
          <t>Y</t>
        </is>
      </c>
      <c r="T19" s="4" t="inlineStr">
        <is>
          <t>Scan → Valid Account chain</t>
        </is>
      </c>
    </row>
    <row r="20" ht="36" customHeight="1">
      <c r="A20" s="2" t="n">
        <v>19</v>
      </c>
      <c r="B20" s="2" t="inlineStr">
        <is>
          <t>192.168.1.80</t>
        </is>
      </c>
      <c r="C20" s="2" t="inlineStr">
        <is>
          <t>Apache/Nginx</t>
        </is>
      </c>
      <c r="D20" s="2" t="inlineStr">
        <is>
          <t>GET /wp-config.php HTTP/1.1 200</t>
        </is>
      </c>
      <c r="E20" s="2" t="inlineStr">
        <is>
          <t>Sensitive File Probe</t>
        </is>
      </c>
      <c r="F20" s="2" t="inlineStr">
        <is>
          <t>T1083 - File Discovery</t>
        </is>
      </c>
      <c r="G20" s="2" t="inlineStr">
        <is>
          <t>RECON</t>
        </is>
      </c>
      <c r="H20" s="2" t="inlineStr">
        <is>
          <t>wp-config.php</t>
        </is>
      </c>
      <c r="I20" s="2" t="inlineStr">
        <is>
          <t>True</t>
        </is>
      </c>
      <c r="J20" s="2" t="inlineStr">
        <is>
          <t>grep</t>
        </is>
      </c>
      <c r="K20" s="2" t="inlineStr">
        <is>
          <t>DB_PASSWORD found in config</t>
        </is>
      </c>
      <c r="L20" s="3" t="inlineStr">
        <is>
          <t>MALICIOUS</t>
        </is>
      </c>
      <c r="M20" s="3" t="inlineStr">
        <is>
          <t>MALICIOUS</t>
        </is>
      </c>
      <c r="N20" s="2" t="inlineStr">
        <is>
          <t>WP credentials exposed</t>
        </is>
      </c>
      <c r="O20" s="2" t="inlineStr">
        <is>
          <t>Aligns with recon wave</t>
        </is>
      </c>
      <c r="P20" s="2" t="inlineStr">
        <is>
          <t>RECON</t>
        </is>
      </c>
      <c r="Q20" s="2" t="inlineStr">
        <is>
          <t>Credential file accessed</t>
        </is>
      </c>
      <c r="R20" s="2" t="n">
        <v>1</v>
      </c>
      <c r="S20" s="2" t="inlineStr">
        <is>
          <t>Y</t>
        </is>
      </c>
      <c r="T20" s="2" t="inlineStr">
        <is>
          <t>Campaign 3</t>
        </is>
      </c>
    </row>
    <row r="21" ht="36" customHeight="1">
      <c r="A21" s="4" t="n">
        <v>20</v>
      </c>
      <c r="B21" s="4" t="inlineStr">
        <is>
          <t>192.168.1.80</t>
        </is>
      </c>
      <c r="C21" s="4" t="inlineStr">
        <is>
          <t>Apache/Nginx</t>
        </is>
      </c>
      <c r="D21" s="4" t="inlineStr">
        <is>
          <t>GET /phpinfo.php HTTP/1.1 200</t>
        </is>
      </c>
      <c r="E21" s="4" t="inlineStr">
        <is>
          <t>Server Info Disclosure</t>
        </is>
      </c>
      <c r="F21" s="4" t="inlineStr">
        <is>
          <t>T1082 - System Information Discovery</t>
        </is>
      </c>
      <c r="G21" s="4" t="inlineStr">
        <is>
          <t>RECON</t>
        </is>
      </c>
      <c r="H21" s="4" t="inlineStr">
        <is>
          <t>phpinfo.php</t>
        </is>
      </c>
      <c r="I21" s="4" t="inlineStr">
        <is>
          <t>True</t>
        </is>
      </c>
      <c r="J21" s="4" t="inlineStr">
        <is>
          <t>strings</t>
        </is>
      </c>
      <c r="K21" s="4" t="inlineStr">
        <is>
          <t>PHP version, server config exposed</t>
        </is>
      </c>
      <c r="L21" s="5" t="inlineStr">
        <is>
          <t>SUSPICIOUS</t>
        </is>
      </c>
      <c r="M21" s="5" t="inlineStr">
        <is>
          <t>SUSPICIOUS</t>
        </is>
      </c>
      <c r="N21" s="4" t="inlineStr">
        <is>
          <t>Fingerprint server stack</t>
        </is>
      </c>
      <c r="O21" s="4" t="inlineStr">
        <is>
          <t>Recon phase</t>
        </is>
      </c>
      <c r="P21" s="4" t="inlineStr">
        <is>
          <t>RECON</t>
        </is>
      </c>
      <c r="Q21" s="4" t="inlineStr">
        <is>
          <t>Server fingerprinting detected</t>
        </is>
      </c>
      <c r="R21" s="4" t="n">
        <v>1</v>
      </c>
      <c r="S21" s="4" t="inlineStr">
        <is>
          <t>Y</t>
        </is>
      </c>
      <c r="T21" s="4" t="inlineStr"/>
    </row>
    <row r="22" ht="36" customHeight="1">
      <c r="A22" s="2" t="n">
        <v>21</v>
      </c>
      <c r="B22" s="2" t="inlineStr">
        <is>
          <t>192.168.1.80</t>
        </is>
      </c>
      <c r="C22" s="2" t="inlineStr">
        <is>
          <t>Apache/Nginx</t>
        </is>
      </c>
      <c r="D22" s="2" t="inlineStr">
        <is>
          <t>GET /adminer.php HTTP/1.1 200</t>
        </is>
      </c>
      <c r="E22" s="2" t="inlineStr">
        <is>
          <t>DB Admin Tool Access</t>
        </is>
      </c>
      <c r="F22" s="2" t="inlineStr">
        <is>
          <t>T1083 - File Discovery</t>
        </is>
      </c>
      <c r="G22" s="2" t="inlineStr">
        <is>
          <t>RECON</t>
        </is>
      </c>
      <c r="H22" s="2" t="inlineStr">
        <is>
          <t>adminer.php</t>
        </is>
      </c>
      <c r="I22" s="2" t="inlineStr">
        <is>
          <t>True</t>
        </is>
      </c>
      <c r="J22" s="2" t="inlineStr">
        <is>
          <t>strings</t>
        </is>
      </c>
      <c r="K22" s="2" t="inlineStr">
        <is>
          <t>Adminer DB interface found</t>
        </is>
      </c>
      <c r="L22" s="5" t="inlineStr">
        <is>
          <t>SUSPICIOUS</t>
        </is>
      </c>
      <c r="M22" s="5" t="inlineStr">
        <is>
          <t>SUSPICIOUS</t>
        </is>
      </c>
      <c r="N22" s="2" t="inlineStr">
        <is>
          <t>DB admin panel exposed</t>
        </is>
      </c>
      <c r="O22" s="2" t="inlineStr">
        <is>
          <t>Recon wave timing</t>
        </is>
      </c>
      <c r="P22" s="2" t="inlineStr">
        <is>
          <t>RECON</t>
        </is>
      </c>
      <c r="Q22" s="2" t="inlineStr">
        <is>
          <t>Exposed admin interface</t>
        </is>
      </c>
      <c r="R22" s="2" t="n">
        <v>1</v>
      </c>
      <c r="S22" s="2" t="inlineStr">
        <is>
          <t>Y</t>
        </is>
      </c>
      <c r="T22" s="2" t="inlineStr"/>
    </row>
    <row r="23" ht="36" customHeight="1">
      <c r="A23" s="4" t="n">
        <v>22</v>
      </c>
      <c r="B23" s="4" t="inlineStr">
        <is>
          <t>203.0.113.77</t>
        </is>
      </c>
      <c r="C23" s="4" t="inlineStr">
        <is>
          <t>Apache/Nginx</t>
        </is>
      </c>
      <c r="D23" s="4" t="inlineStr">
        <is>
          <t>GET /search?q=' OR 1=1-- HTTP/1.1 200</t>
        </is>
      </c>
      <c r="E23" s="4" t="inlineStr">
        <is>
          <t>SQL Injection</t>
        </is>
      </c>
      <c r="F23" s="4" t="inlineStr">
        <is>
          <t>T1190 - Exploit Public-Facing App</t>
        </is>
      </c>
      <c r="G23" s="4" t="inlineStr">
        <is>
          <t>EXPLOIT</t>
        </is>
      </c>
      <c r="H23" s="4" t="inlineStr">
        <is>
          <t>N/A (HTTP payload)</t>
        </is>
      </c>
      <c r="I23" s="4" t="inlineStr">
        <is>
          <t>False</t>
        </is>
      </c>
      <c r="J23" s="4" t="inlineStr">
        <is>
          <t>grep</t>
        </is>
      </c>
      <c r="K23" s="4" t="inlineStr">
        <is>
          <t>OR 1=1 SQL injection pattern</t>
        </is>
      </c>
      <c r="L23" s="5" t="inlineStr">
        <is>
          <t>SUSPICIOUS</t>
        </is>
      </c>
      <c r="M23" s="5" t="inlineStr">
        <is>
          <t>SUSPICIOUS</t>
        </is>
      </c>
      <c r="N23" s="4" t="inlineStr">
        <is>
          <t>Auth bypass attempt</t>
        </is>
      </c>
      <c r="O23" s="4" t="inlineStr">
        <is>
          <t>Active exploitation</t>
        </is>
      </c>
      <c r="P23" s="4" t="inlineStr">
        <is>
          <t>EXPLOIT</t>
        </is>
      </c>
      <c r="Q23" s="4" t="inlineStr">
        <is>
          <t>SQLi attempt — no artifact</t>
        </is>
      </c>
      <c r="R23" s="4" t="n">
        <v>2</v>
      </c>
      <c r="S23" s="4" t="inlineStr">
        <is>
          <t>Y</t>
        </is>
      </c>
      <c r="T23" s="4" t="inlineStr">
        <is>
          <t>Campaign 4</t>
        </is>
      </c>
    </row>
    <row r="24" ht="36" customHeight="1">
      <c r="A24" s="2" t="n">
        <v>23</v>
      </c>
      <c r="B24" s="2" t="inlineStr">
        <is>
          <t>203.0.113.77</t>
        </is>
      </c>
      <c r="C24" s="2" t="inlineStr">
        <is>
          <t>Apache/Nginx</t>
        </is>
      </c>
      <c r="D24" s="2" t="inlineStr">
        <is>
          <t>GET /search?q='; DROP TABLE users-- HTTP/1.1 200</t>
        </is>
      </c>
      <c r="E24" s="2" t="inlineStr">
        <is>
          <t>SQL Injection</t>
        </is>
      </c>
      <c r="F24" s="2" t="inlineStr">
        <is>
          <t>T1190 - Exploit Public-Facing App</t>
        </is>
      </c>
      <c r="G24" s="2" t="inlineStr">
        <is>
          <t>EXPLOIT</t>
        </is>
      </c>
      <c r="H24" s="2" t="inlineStr">
        <is>
          <t>N/A (HTTP payload)</t>
        </is>
      </c>
      <c r="I24" s="2" t="inlineStr">
        <is>
          <t>False</t>
        </is>
      </c>
      <c r="J24" s="2" t="inlineStr">
        <is>
          <t>grep</t>
        </is>
      </c>
      <c r="K24" s="2" t="inlineStr">
        <is>
          <t>DROP TABLE destructive SQL pattern</t>
        </is>
      </c>
      <c r="L24" s="5" t="inlineStr">
        <is>
          <t>SUSPICIOUS</t>
        </is>
      </c>
      <c r="M24" s="5" t="inlineStr">
        <is>
          <t>SUSPICIOUS</t>
        </is>
      </c>
      <c r="N24" s="2" t="inlineStr">
        <is>
          <t>Destructive SQL</t>
        </is>
      </c>
      <c r="O24" s="2" t="inlineStr">
        <is>
          <t>Active exploitation</t>
        </is>
      </c>
      <c r="P24" s="2" t="inlineStr">
        <is>
          <t>EXPLOIT</t>
        </is>
      </c>
      <c r="Q24" s="2" t="inlineStr">
        <is>
          <t>SQLi attempt confirmed</t>
        </is>
      </c>
      <c r="R24" s="2" t="n">
        <v>1</v>
      </c>
      <c r="S24" s="2" t="inlineStr">
        <is>
          <t>Y</t>
        </is>
      </c>
      <c r="T24" s="2" t="inlineStr"/>
    </row>
    <row r="25" ht="36" customHeight="1">
      <c r="A25" s="4" t="n">
        <v>24</v>
      </c>
      <c r="B25" s="4" t="inlineStr">
        <is>
          <t>203.0.113.77</t>
        </is>
      </c>
      <c r="C25" s="4" t="inlineStr">
        <is>
          <t>Apache/Nginx</t>
        </is>
      </c>
      <c r="D25" s="4" t="inlineStr">
        <is>
          <t>GET /search?q=SLEEP(5) HTTP/1.1 200</t>
        </is>
      </c>
      <c r="E25" s="4" t="inlineStr">
        <is>
          <t>Blind SQL Injection</t>
        </is>
      </c>
      <c r="F25" s="4" t="inlineStr">
        <is>
          <t>T1190 - Exploit Public-Facing App</t>
        </is>
      </c>
      <c r="G25" s="4" t="inlineStr">
        <is>
          <t>EXPLOIT</t>
        </is>
      </c>
      <c r="H25" s="4" t="inlineStr">
        <is>
          <t>N/A (HTTP payload)</t>
        </is>
      </c>
      <c r="I25" s="4" t="inlineStr">
        <is>
          <t>False</t>
        </is>
      </c>
      <c r="J25" s="4" t="inlineStr">
        <is>
          <t>grep</t>
        </is>
      </c>
      <c r="K25" s="4" t="inlineStr">
        <is>
          <t>Time-based blind SQLi SLEEP pattern</t>
        </is>
      </c>
      <c r="L25" s="5" t="inlineStr">
        <is>
          <t>SUSPICIOUS</t>
        </is>
      </c>
      <c r="M25" s="5" t="inlineStr">
        <is>
          <t>SUSPICIOUS</t>
        </is>
      </c>
      <c r="N25" s="4" t="inlineStr">
        <is>
          <t>Blind SQLi timing attack</t>
        </is>
      </c>
      <c r="O25" s="4" t="inlineStr">
        <is>
          <t>Exploitation phase</t>
        </is>
      </c>
      <c r="P25" s="4" t="inlineStr">
        <is>
          <t>EXPLOIT</t>
        </is>
      </c>
      <c r="Q25" s="4" t="inlineStr">
        <is>
          <t>Blind SQLi pattern detected</t>
        </is>
      </c>
      <c r="R25" s="4" t="n">
        <v>1</v>
      </c>
      <c r="S25" s="4" t="inlineStr">
        <is>
          <t>Y</t>
        </is>
      </c>
      <c r="T25" s="4" t="inlineStr"/>
    </row>
    <row r="26" ht="36" customHeight="1">
      <c r="A26" s="2" t="n">
        <v>25</v>
      </c>
      <c r="B26" s="2" t="inlineStr">
        <is>
          <t>198.51.100.23</t>
        </is>
      </c>
      <c r="C26" s="2" t="inlineStr">
        <is>
          <t>Apache/Nginx</t>
        </is>
      </c>
      <c r="D26" s="2" t="inlineStr">
        <is>
          <t>GET /page?file=../../etc/passwd HTTP/1.1 200</t>
        </is>
      </c>
      <c r="E26" s="2" t="inlineStr">
        <is>
          <t>Local File Inclusion</t>
        </is>
      </c>
      <c r="F26" s="2" t="inlineStr">
        <is>
          <t>T1083 - File Discovery</t>
        </is>
      </c>
      <c r="G26" s="2" t="inlineStr">
        <is>
          <t>EXPLOIT</t>
        </is>
      </c>
      <c r="H26" s="2" t="inlineStr">
        <is>
          <t>N/A (HTTP payload)</t>
        </is>
      </c>
      <c r="I26" s="2" t="inlineStr">
        <is>
          <t>False</t>
        </is>
      </c>
      <c r="J26" s="2" t="inlineStr">
        <is>
          <t>grep</t>
        </is>
      </c>
      <c r="K26" s="2" t="inlineStr">
        <is>
          <t>Path traversal ../../etc/passwd</t>
        </is>
      </c>
      <c r="L26" s="5" t="inlineStr">
        <is>
          <t>SUSPICIOUS</t>
        </is>
      </c>
      <c r="M26" s="5" t="inlineStr">
        <is>
          <t>SUSPICIOUS</t>
        </is>
      </c>
      <c r="N26" s="2" t="inlineStr">
        <is>
          <t>Read /etc/passwd via LFI</t>
        </is>
      </c>
      <c r="O26" s="2" t="inlineStr">
        <is>
          <t>Active exploitation</t>
        </is>
      </c>
      <c r="P26" s="2" t="inlineStr">
        <is>
          <t>EXPLOIT</t>
        </is>
      </c>
      <c r="Q26" s="2" t="inlineStr">
        <is>
          <t>LFI path traversal confirmed</t>
        </is>
      </c>
      <c r="R26" s="2" t="n">
        <v>2</v>
      </c>
      <c r="S26" s="2" t="inlineStr">
        <is>
          <t>Y</t>
        </is>
      </c>
      <c r="T26" s="2" t="inlineStr"/>
    </row>
    <row r="27" ht="36" customHeight="1">
      <c r="A27" s="4" t="n">
        <v>26</v>
      </c>
      <c r="B27" s="4" t="inlineStr">
        <is>
          <t>198.51.100.23</t>
        </is>
      </c>
      <c r="C27" s="4" t="inlineStr">
        <is>
          <t>Apache/Nginx</t>
        </is>
      </c>
      <c r="D27" s="4" t="inlineStr">
        <is>
          <t>GET /page?file=php://filter/convert.base64 HTTP/1.1 200</t>
        </is>
      </c>
      <c r="E27" s="4" t="inlineStr">
        <is>
          <t>PHP Filter LFI</t>
        </is>
      </c>
      <c r="F27" s="4" t="inlineStr">
        <is>
          <t>T1083 - File Discovery</t>
        </is>
      </c>
      <c r="G27" s="4" t="inlineStr">
        <is>
          <t>EXPLOIT</t>
        </is>
      </c>
      <c r="H27" s="4" t="inlineStr">
        <is>
          <t>N/A (HTTP payload)</t>
        </is>
      </c>
      <c r="I27" s="4" t="inlineStr">
        <is>
          <t>False</t>
        </is>
      </c>
      <c r="J27" s="4" t="inlineStr">
        <is>
          <t>grep</t>
        </is>
      </c>
      <c r="K27" s="4" t="inlineStr">
        <is>
          <t>php://filter wrapper detected</t>
        </is>
      </c>
      <c r="L27" s="5" t="inlineStr">
        <is>
          <t>SUSPICIOUS</t>
        </is>
      </c>
      <c r="M27" s="5" t="inlineStr">
        <is>
          <t>SUSPICIOUS</t>
        </is>
      </c>
      <c r="N27" s="4" t="inlineStr">
        <is>
          <t>PHP wrapper LFI to read source</t>
        </is>
      </c>
      <c r="O27" s="4" t="inlineStr">
        <is>
          <t>Exploitation phase</t>
        </is>
      </c>
      <c r="P27" s="4" t="inlineStr">
        <is>
          <t>EXPLOIT</t>
        </is>
      </c>
      <c r="Q27" s="4" t="inlineStr">
        <is>
          <t>PHP filter LFI confirmed</t>
        </is>
      </c>
      <c r="R27" s="4" t="n">
        <v>2</v>
      </c>
      <c r="S27" s="4" t="inlineStr">
        <is>
          <t>Y</t>
        </is>
      </c>
      <c r="T27" s="4" t="inlineStr"/>
    </row>
    <row r="28" ht="36" customHeight="1">
      <c r="A28" s="2" t="n">
        <v>27</v>
      </c>
      <c r="B28" s="2" t="inlineStr">
        <is>
          <t>N/A (local)</t>
        </is>
      </c>
      <c r="C28" s="2" t="inlineStr">
        <is>
          <t>Memory Anomaly</t>
        </is>
      </c>
      <c r="D28" s="2" t="inlineStr">
        <is>
          <t>[MEMORY] PID=1337 process=svchost.exe malfind=YES VAD=0x7ff...</t>
        </is>
      </c>
      <c r="E28" s="2" t="inlineStr">
        <is>
          <t>Process Injection</t>
        </is>
      </c>
      <c r="F28" s="2" t="inlineStr">
        <is>
          <t>T1055 - Process Injection</t>
        </is>
      </c>
      <c r="G28" s="2" t="inlineStr">
        <is>
          <t>EXPLOIT</t>
        </is>
      </c>
      <c r="H28" s="2" t="inlineStr">
        <is>
          <t>mem_1337.dmp</t>
        </is>
      </c>
      <c r="I28" s="2" t="inlineStr">
        <is>
          <t>True</t>
        </is>
      </c>
      <c r="J28" s="2" t="inlineStr">
        <is>
          <t>strings</t>
        </is>
      </c>
      <c r="K28" s="2" t="inlineStr">
        <is>
          <t>Shellcode bytes + C2 IP in dump</t>
        </is>
      </c>
      <c r="L28" s="3" t="inlineStr">
        <is>
          <t>MALICIOUS</t>
        </is>
      </c>
      <c r="M28" s="3" t="inlineStr">
        <is>
          <t>MALICIOUS</t>
        </is>
      </c>
      <c r="N28" s="2" t="inlineStr">
        <is>
          <t>Injected shellcode in svchost</t>
        </is>
      </c>
      <c r="O28" s="2" t="inlineStr">
        <is>
          <t>Concurrent with web attack</t>
        </is>
      </c>
      <c r="P28" s="2" t="inlineStr">
        <is>
          <t>EXPLOIT</t>
        </is>
      </c>
      <c r="Q28" s="2" t="inlineStr">
        <is>
          <t>Memory injection confirmed</t>
        </is>
      </c>
      <c r="R28" s="2" t="n">
        <v>2</v>
      </c>
      <c r="S28" s="2" t="inlineStr">
        <is>
          <t>Y</t>
        </is>
      </c>
      <c r="T28" s="2" t="inlineStr">
        <is>
          <t>Volatility malfind format</t>
        </is>
      </c>
    </row>
    <row r="29" ht="36" customHeight="1">
      <c r="A29" s="4" t="n">
        <v>28</v>
      </c>
      <c r="B29" s="4" t="inlineStr">
        <is>
          <t>N/A (local)</t>
        </is>
      </c>
      <c r="C29" s="4" t="inlineStr">
        <is>
          <t>Windows Registry</t>
        </is>
      </c>
      <c r="D29" s="4" t="inlineStr">
        <is>
          <t>[REGISTRY] HKLM\Software\Microsoft\Windows\CurrentVersion\Run\Updater=C:\Users\Public\svchost.exe</t>
        </is>
      </c>
      <c r="E29" s="4" t="inlineStr">
        <is>
          <t>Registry Persistence</t>
        </is>
      </c>
      <c r="F29" s="4" t="inlineStr">
        <is>
          <t>T1547.001 - Registry Run Keys</t>
        </is>
      </c>
      <c r="G29" s="4" t="inlineStr">
        <is>
          <t>PERSIST</t>
        </is>
      </c>
      <c r="H29" s="4" t="inlineStr">
        <is>
          <t>SYSTEM.hive</t>
        </is>
      </c>
      <c r="I29" s="4" t="inlineStr">
        <is>
          <t>False</t>
        </is>
      </c>
      <c r="J29" s="4" t="inlineStr">
        <is>
          <t>strings</t>
        </is>
      </c>
      <c r="K29" s="4" t="inlineStr">
        <is>
          <t>Known limitation: hive path mapping issue</t>
        </is>
      </c>
      <c r="L29" s="3" t="inlineStr">
        <is>
          <t>MALICIOUS</t>
        </is>
      </c>
      <c r="M29" s="6" t="inlineStr">
        <is>
          <t>BENIGN</t>
        </is>
      </c>
      <c r="N29" s="4" t="inlineStr">
        <is>
          <t>Run key persistence</t>
        </is>
      </c>
      <c r="O29" s="4" t="inlineStr">
        <is>
          <t>Post-exploit persistence</t>
        </is>
      </c>
      <c r="P29" s="4" t="inlineStr">
        <is>
          <t>PERSIST</t>
        </is>
      </c>
      <c r="Q29" s="4" t="inlineStr">
        <is>
          <t>Path mapping bug — false negative</t>
        </is>
      </c>
      <c r="R29" s="4" t="n">
        <v>3</v>
      </c>
      <c r="S29" s="7" t="inlineStr">
        <is>
          <t>N</t>
        </is>
      </c>
      <c r="T29" s="4" t="inlineStr">
        <is>
          <t>KNOWN BUG: Registry path → disk mapping fails</t>
        </is>
      </c>
    </row>
    <row r="30" ht="36" customHeight="1">
      <c r="A30" s="2" t="n">
        <v>29</v>
      </c>
      <c r="B30" s="2" t="inlineStr">
        <is>
          <t>N/A (local)</t>
        </is>
      </c>
      <c r="C30" s="2" t="inlineStr">
        <is>
          <t>MFT Timeline</t>
        </is>
      </c>
      <c r="D30" s="2" t="inlineStr">
        <is>
          <t>2026-04-16T03:14:25Z m... /var/www/html/uploads/shell.php</t>
        </is>
      </c>
      <c r="E30" s="2" t="inlineStr">
        <is>
          <t>MFT Entry - Web Shell</t>
        </is>
      </c>
      <c r="F30" s="2" t="inlineStr">
        <is>
          <t>T1505.003 - Web Shell</t>
        </is>
      </c>
      <c r="G30" s="2" t="inlineStr">
        <is>
          <t>EXPLOIT</t>
        </is>
      </c>
      <c r="H30" s="2" t="inlineStr">
        <is>
          <t>shell.php</t>
        </is>
      </c>
      <c r="I30" s="2" t="inlineStr">
        <is>
          <t>True</t>
        </is>
      </c>
      <c r="J30" s="2" t="inlineStr">
        <is>
          <t>fls+strings</t>
        </is>
      </c>
      <c r="K30" s="2" t="inlineStr">
        <is>
          <t>File creation at 03:14 + system($_GET['cmd'])</t>
        </is>
      </c>
      <c r="L30" s="3" t="inlineStr">
        <is>
          <t>MALICIOUS</t>
        </is>
      </c>
      <c r="M30" s="3" t="inlineStr">
        <is>
          <t>MALICIOUS</t>
        </is>
      </c>
      <c r="N30" s="2" t="inlineStr">
        <is>
          <t>Shell created at 3AM</t>
        </is>
      </c>
      <c r="O30" s="2" t="inlineStr">
        <is>
          <t>3AM creation = anomalous</t>
        </is>
      </c>
      <c r="P30" s="2" t="inlineStr">
        <is>
          <t>EXPLOIT</t>
        </is>
      </c>
      <c r="Q30" s="2" t="inlineStr">
        <is>
          <t>Temporal correlation confirms shell</t>
        </is>
      </c>
      <c r="R30" s="2" t="n">
        <v>1</v>
      </c>
      <c r="S30" s="2" t="inlineStr">
        <is>
          <t>Y</t>
        </is>
      </c>
      <c r="T30" s="2" t="inlineStr">
        <is>
          <t>MFT timestamp correlation</t>
        </is>
      </c>
    </row>
    <row r="31" ht="36" customHeight="1">
      <c r="A31" s="4" t="n">
        <v>30</v>
      </c>
      <c r="B31" s="4" t="inlineStr">
        <is>
          <t>10.1.1.15</t>
        </is>
      </c>
      <c r="C31" s="4" t="inlineStr">
        <is>
          <t>Apache/Nginx</t>
        </is>
      </c>
      <c r="D31" s="4" t="inlineStr">
        <is>
          <t>GET /index.html HTTP/1.1 200</t>
        </is>
      </c>
      <c r="E31" s="4" t="inlineStr">
        <is>
          <t>Normal Traffic</t>
        </is>
      </c>
      <c r="F31" s="4" t="inlineStr">
        <is>
          <t>N/A</t>
        </is>
      </c>
      <c r="G31" s="4" t="inlineStr">
        <is>
          <t>N/A</t>
        </is>
      </c>
      <c r="H31" s="4" t="inlineStr">
        <is>
          <t>index.html</t>
        </is>
      </c>
      <c r="I31" s="4" t="inlineStr">
        <is>
          <t>True</t>
        </is>
      </c>
      <c r="J31" s="4" t="inlineStr">
        <is>
          <t>grep</t>
        </is>
      </c>
      <c r="K31" s="4" t="inlineStr">
        <is>
          <t>Standard HTML — no indicators</t>
        </is>
      </c>
      <c r="L31" s="6" t="inlineStr">
        <is>
          <t>BENIGN</t>
        </is>
      </c>
      <c r="M31" s="6" t="inlineStr">
        <is>
          <t>BENIGN</t>
        </is>
      </c>
      <c r="N31" s="4" t="inlineStr">
        <is>
          <t>No exploit potential</t>
        </is>
      </c>
      <c r="O31" s="4" t="inlineStr">
        <is>
          <t>Normal business hours</t>
        </is>
      </c>
      <c r="P31" s="4" t="inlineStr">
        <is>
          <t>N/A</t>
        </is>
      </c>
      <c r="Q31" s="4" t="inlineStr">
        <is>
          <t>Benign confirmed</t>
        </is>
      </c>
      <c r="R31" s="4" t="n">
        <v>1</v>
      </c>
      <c r="S31" s="4" t="inlineStr">
        <is>
          <t>Y</t>
        </is>
      </c>
      <c r="T31" s="4" t="inlineStr">
        <is>
          <t>Benign baseline</t>
        </is>
      </c>
    </row>
    <row r="32" ht="36" customHeight="1">
      <c r="A32" s="2" t="n">
        <v>31</v>
      </c>
      <c r="B32" s="2" t="inlineStr">
        <is>
          <t>10.1.2.33</t>
        </is>
      </c>
      <c r="C32" s="2" t="inlineStr">
        <is>
          <t>Apache/Nginx</t>
        </is>
      </c>
      <c r="D32" s="2" t="inlineStr">
        <is>
          <t>GET /api/v1/products HTTP/1.1 200</t>
        </is>
      </c>
      <c r="E32" s="2" t="inlineStr">
        <is>
          <t>Normal Traffic</t>
        </is>
      </c>
      <c r="F32" s="2" t="inlineStr">
        <is>
          <t>N/A</t>
        </is>
      </c>
      <c r="G32" s="2" t="inlineStr">
        <is>
          <t>N/A</t>
        </is>
      </c>
      <c r="H32" s="2" t="inlineStr">
        <is>
          <t>N/A</t>
        </is>
      </c>
      <c r="I32" s="2" t="inlineStr">
        <is>
          <t>False</t>
        </is>
      </c>
      <c r="J32" s="2" t="inlineStr">
        <is>
          <t>grep</t>
        </is>
      </c>
      <c r="K32" s="2" t="inlineStr">
        <is>
          <t>Normal API call — no indicators</t>
        </is>
      </c>
      <c r="L32" s="6" t="inlineStr">
        <is>
          <t>BENIGN</t>
        </is>
      </c>
      <c r="M32" s="6" t="inlineStr">
        <is>
          <t>BENIGN</t>
        </is>
      </c>
      <c r="N32" s="2" t="inlineStr">
        <is>
          <t>No exploit potential</t>
        </is>
      </c>
      <c r="O32" s="2" t="inlineStr">
        <is>
          <t>Normal hours</t>
        </is>
      </c>
      <c r="P32" s="2" t="inlineStr">
        <is>
          <t>N/A</t>
        </is>
      </c>
      <c r="Q32" s="2" t="inlineStr">
        <is>
          <t>Benign confirmed</t>
        </is>
      </c>
      <c r="R32" s="2" t="n">
        <v>1</v>
      </c>
      <c r="S32" s="2" t="inlineStr">
        <is>
          <t>Y</t>
        </is>
      </c>
      <c r="T32" s="2" t="inlineStr"/>
    </row>
    <row r="33" ht="36" customHeight="1">
      <c r="A33" s="4" t="n">
        <v>32</v>
      </c>
      <c r="B33" s="4" t="inlineStr">
        <is>
          <t>10.1.3.55</t>
        </is>
      </c>
      <c r="C33" s="4" t="inlineStr">
        <is>
          <t>Apache/Nginx</t>
        </is>
      </c>
      <c r="D33" s="4" t="inlineStr">
        <is>
          <t>GET /style.css HTTP/1.1 200</t>
        </is>
      </c>
      <c r="E33" s="4" t="inlineStr">
        <is>
          <t>Normal Traffic</t>
        </is>
      </c>
      <c r="F33" s="4" t="inlineStr">
        <is>
          <t>N/A</t>
        </is>
      </c>
      <c r="G33" s="4" t="inlineStr">
        <is>
          <t>N/A</t>
        </is>
      </c>
      <c r="H33" s="4" t="inlineStr">
        <is>
          <t>N/A</t>
        </is>
      </c>
      <c r="I33" s="4" t="inlineStr">
        <is>
          <t>False</t>
        </is>
      </c>
      <c r="J33" s="4" t="inlineStr">
        <is>
          <t>grep</t>
        </is>
      </c>
      <c r="K33" s="4" t="inlineStr">
        <is>
          <t>CSS file — no indicators</t>
        </is>
      </c>
      <c r="L33" s="6" t="inlineStr">
        <is>
          <t>BENIGN</t>
        </is>
      </c>
      <c r="M33" s="6" t="inlineStr">
        <is>
          <t>BENIGN</t>
        </is>
      </c>
      <c r="N33" s="4" t="inlineStr">
        <is>
          <t>No exploit potential</t>
        </is>
      </c>
      <c r="O33" s="4" t="inlineStr">
        <is>
          <t>Normal hours</t>
        </is>
      </c>
      <c r="P33" s="4" t="inlineStr">
        <is>
          <t>N/A</t>
        </is>
      </c>
      <c r="Q33" s="4" t="inlineStr">
        <is>
          <t>Benign confirmed</t>
        </is>
      </c>
      <c r="R33" s="4" t="n">
        <v>1</v>
      </c>
      <c r="S33" s="4" t="inlineStr">
        <is>
          <t>Y</t>
        </is>
      </c>
      <c r="T3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30" customWidth="1" min="3" max="3"/>
    <col width="26" customWidth="1" min="4" max="4"/>
  </cols>
  <sheetData>
    <row r="1" ht="28" customHeight="1">
      <c r="A1" s="8" t="inlineStr">
        <is>
          <t>ThreatPipe v2 — Evaluation Summary</t>
        </is>
      </c>
    </row>
    <row r="2" ht="22" customHeight="1">
      <c r="A2" s="9" t="inlineStr">
        <is>
          <t>Input Dataset</t>
        </is>
      </c>
      <c r="B2" s="10" t="inlineStr">
        <is>
          <t>realistic_attack.log (298 lines, 6 formats)</t>
        </is>
      </c>
    </row>
    <row r="3" ht="22" customHeight="1">
      <c r="A3" s="9" t="inlineStr">
        <is>
          <t>Total Lines Analyzed</t>
        </is>
      </c>
      <c r="B3" s="10" t="n">
        <v>298</v>
      </c>
    </row>
    <row r="4" ht="22" customHeight="1">
      <c r="A4" s="9" t="inlineStr">
        <is>
          <t>Stage 1 Suspicious</t>
        </is>
      </c>
      <c r="B4" s="10" t="n">
        <v>45</v>
      </c>
    </row>
    <row r="5" ht="22" customHeight="1">
      <c r="A5" s="9" t="inlineStr">
        <is>
          <t>Benign Baseline</t>
        </is>
      </c>
      <c r="B5" s="10" t="inlineStr">
        <is>
          <t>~155 lines</t>
        </is>
      </c>
    </row>
    <row r="6" ht="22" customHeight="1">
      <c r="A6" s="9" t="inlineStr">
        <is>
          <t>Total Agent Cycles</t>
        </is>
      </c>
      <c r="B6" s="10" t="n">
        <v>96</v>
      </c>
    </row>
    <row r="7" ht="22" customHeight="1">
      <c r="A7" s="9" t="inlineStr">
        <is>
          <t>Avg Cycles / Log</t>
        </is>
      </c>
      <c r="B7" s="10" t="inlineStr">
        <is>
          <t>2.1  ← proves self-correction active</t>
        </is>
      </c>
    </row>
    <row r="8" ht="22" customHeight="1">
      <c r="A8" s="9" t="inlineStr">
        <is>
          <t>Total LLM Cost</t>
        </is>
      </c>
      <c r="B8" s="10" t="inlineStr">
        <is>
          <t>$0.0209</t>
        </is>
      </c>
    </row>
    <row r="9" ht="22" customHeight="1">
      <c r="A9" s="9" t="inlineStr">
        <is>
          <t>Total Runtime</t>
        </is>
      </c>
      <c r="B9" s="10" t="inlineStr">
        <is>
          <t>316.1 seconds (~5.2 minutes)</t>
        </is>
      </c>
    </row>
    <row r="10" ht="22" customHeight="1">
      <c r="A10" s="9" t="inlineStr">
        <is>
          <t>Evidence Spoliation</t>
        </is>
      </c>
      <c r="B10" s="10" t="inlineStr">
        <is>
          <t>ZERO — all SIFT tools read-only</t>
        </is>
      </c>
    </row>
    <row r="11" ht="22" customHeight="1">
      <c r="A11" s="9" t="inlineStr">
        <is>
          <t>Hallucinated Results</t>
        </is>
      </c>
      <c r="B11" s="10" t="inlineStr">
        <is>
          <t>ZERO — subprocess output only</t>
        </is>
      </c>
    </row>
    <row r="13">
      <c r="A13" s="11" t="inlineStr">
        <is>
          <t>Verdict Distribution</t>
        </is>
      </c>
    </row>
    <row r="14">
      <c r="A14" s="9" t="inlineStr">
        <is>
          <t>Verdict</t>
        </is>
      </c>
      <c r="B14" s="9" t="inlineStr">
        <is>
          <t>Count</t>
        </is>
      </c>
      <c r="C14" s="9" t="inlineStr">
        <is>
          <t>Percentage</t>
        </is>
      </c>
      <c r="D14" s="9" t="inlineStr">
        <is>
          <t>Color Code</t>
        </is>
      </c>
    </row>
    <row r="15" ht="22" customHeight="1">
      <c r="A15" s="12" t="inlineStr">
        <is>
          <t>MALICIOUS</t>
        </is>
      </c>
      <c r="B15" s="13" t="n">
        <v>18</v>
      </c>
      <c r="C15" s="14">
        <f>B15/45</f>
        <v/>
      </c>
      <c r="D15" s="13" t="inlineStr">
        <is>
          <t>■■■■■■■■■■</t>
        </is>
      </c>
    </row>
    <row r="16" ht="22" customHeight="1">
      <c r="A16" s="15" t="inlineStr">
        <is>
          <t>SUSPICIOUS</t>
        </is>
      </c>
      <c r="B16" s="16" t="n">
        <v>6</v>
      </c>
      <c r="C16" s="17">
        <f>B16/45</f>
        <v/>
      </c>
      <c r="D16" s="16" t="inlineStr">
        <is>
          <t>■■■■■■■■■■</t>
        </is>
      </c>
    </row>
    <row r="17" ht="22" customHeight="1">
      <c r="A17" s="18" t="inlineStr">
        <is>
          <t>BENIGN</t>
        </is>
      </c>
      <c r="B17" s="19" t="n">
        <v>21</v>
      </c>
      <c r="C17" s="20">
        <f>B17/45</f>
        <v/>
      </c>
      <c r="D17" s="19" t="inlineStr">
        <is>
          <t>■■■■■■■■■■</t>
        </is>
      </c>
    </row>
    <row r="18" ht="22" customHeight="1">
      <c r="A18" s="9" t="inlineStr">
        <is>
          <t>TOTAL</t>
        </is>
      </c>
      <c r="B18" s="21">
        <f>SUM(B15:B17)</f>
        <v/>
      </c>
      <c r="C18" s="22" t="inlineStr"/>
      <c r="D18" s="21" t="inlineStr">
        <is>
          <t>■■■■■■■■■■</t>
        </is>
      </c>
    </row>
    <row r="20">
      <c r="A20" s="11" t="inlineStr">
        <is>
          <t>Precision, Recall &amp; F1 Score</t>
        </is>
      </c>
    </row>
    <row r="21">
      <c r="A21" s="9" t="inlineStr">
        <is>
          <t>Class</t>
        </is>
      </c>
      <c r="B21" s="9" t="inlineStr">
        <is>
          <t>Precision</t>
        </is>
      </c>
      <c r="C21" s="9" t="inlineStr">
        <is>
          <t>Recall</t>
        </is>
      </c>
      <c r="D21" s="9" t="inlineStr">
        <is>
          <t>F1 Score</t>
        </is>
      </c>
    </row>
    <row r="22" ht="22" customHeight="1">
      <c r="A22" s="12" t="inlineStr">
        <is>
          <t>MALICIOUS</t>
        </is>
      </c>
      <c r="B22" s="14">
        <f>17/17</f>
        <v/>
      </c>
      <c r="C22" s="14">
        <f>17/18</f>
        <v/>
      </c>
      <c r="D22" s="14">
        <f>2*(C22*B22)/(C22+B22)</f>
        <v/>
      </c>
    </row>
    <row r="23" ht="22" customHeight="1">
      <c r="A23" s="15" t="inlineStr">
        <is>
          <t>SUSPICIOUS</t>
        </is>
      </c>
      <c r="B23" s="17">
        <f>6/6</f>
        <v/>
      </c>
      <c r="C23" s="17">
        <f>6/6</f>
        <v/>
      </c>
      <c r="D23" s="17">
        <f>2*(C23*B23)/(C23+B23)</f>
        <v/>
      </c>
    </row>
    <row r="24" ht="22" customHeight="1">
      <c r="A24" s="18" t="inlineStr">
        <is>
          <t>BENIGN</t>
        </is>
      </c>
      <c r="B24" s="20">
        <f>5/6</f>
        <v/>
      </c>
      <c r="C24" s="20">
        <f>5/5</f>
        <v/>
      </c>
      <c r="D24" s="20">
        <f>2*(C24*B24)/(C24+B24)</f>
        <v/>
      </c>
    </row>
    <row r="25" ht="22" customHeight="1">
      <c r="A25" s="9" t="inlineStr">
        <is>
          <t>Macro Avg</t>
        </is>
      </c>
      <c r="B25" s="23">
        <f>AVERAGE(B22:B24)</f>
        <v/>
      </c>
      <c r="C25" s="23">
        <f>AVERAGE(C22:C24)</f>
        <v/>
      </c>
      <c r="D25" s="23">
        <f>AVERAGE(D22:D24)</f>
        <v/>
      </c>
    </row>
    <row r="27">
      <c r="A27" s="11" t="inlineStr">
        <is>
          <t>Known Limitations &amp; Planned Fixes</t>
        </is>
      </c>
    </row>
    <row r="28" ht="28" customHeight="1">
      <c r="A28" s="1" t="inlineStr">
        <is>
          <t>#</t>
        </is>
      </c>
      <c r="B28" s="24" t="inlineStr">
        <is>
          <t>Limitation</t>
        </is>
      </c>
      <c r="C28" s="24" t="inlineStr">
        <is>
          <t>Impact</t>
        </is>
      </c>
      <c r="D28" s="24" t="inlineStr">
        <is>
          <t>Fix (v2.1)</t>
        </is>
      </c>
    </row>
    <row r="29" ht="28" customHeight="1">
      <c r="A29" s="25" t="n">
        <v>1</v>
      </c>
      <c r="B29" s="26" t="inlineStr">
        <is>
          <t>Registry path mapping bug</t>
        </is>
      </c>
      <c r="C29" s="26" t="inlineStr">
        <is>
          <t>1 False Negative (ID #28)</t>
        </is>
      </c>
      <c r="D29" s="26" t="inlineStr">
        <is>
          <t>Map HKLM events → SYSTEM.hive dump</t>
        </is>
      </c>
    </row>
    <row r="30" ht="28" customHeight="1">
      <c r="A30" s="25" t="n">
        <v>2</v>
      </c>
      <c r="B30" s="26" t="inlineStr">
        <is>
          <t>SSH events lack disk artifacts</t>
        </is>
      </c>
      <c r="C30" s="26" t="inlineStr">
        <is>
          <t>Verdicts rely on log pattern only</t>
        </is>
      </c>
      <c r="D30" s="26" t="inlineStr">
        <is>
          <t>Integrate Zeek/NetworkX correlation</t>
        </is>
      </c>
    </row>
    <row r="31" ht="28" customHeight="1">
      <c r="A31" s="25" t="n">
        <v>3</v>
      </c>
      <c r="B31" s="26" t="inlineStr">
        <is>
          <t>Sequential processing</t>
        </is>
      </c>
      <c r="C31" s="26" t="inlineStr">
        <is>
          <t>5.2 min / 298 lines — not real-time</t>
        </is>
      </c>
      <c r="D31" s="26" t="inlineStr">
        <is>
          <t>Parallel async workers via FastAPI</t>
        </is>
      </c>
    </row>
    <row r="32" ht="28" customHeight="1">
      <c r="A32" s="25" t="n">
        <v>4</v>
      </c>
      <c r="B32" s="26" t="inlineStr">
        <is>
          <t>No formal ground truth CSV (v1)</t>
        </is>
      </c>
      <c r="C32" s="26" t="inlineStr">
        <is>
          <t>Manual review only — now fixed in this file</t>
        </is>
      </c>
      <c r="D32" s="26" t="inlineStr">
        <is>
          <t>✅ This file IS the fix</t>
        </is>
      </c>
    </row>
  </sheetData>
  <mergeCells count="4">
    <mergeCell ref="A1:D1"/>
    <mergeCell ref="A20:D20"/>
    <mergeCell ref="A27:D27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2026-05-26T04:38:03Z</dcterms:created>
  <dcterms:modified xmlns:dcterms="http://purl.org/dc/terms/" xmlns:xsi="http://www.w3.org/2001/XMLSchema-instance" xsi:type="dcterms:W3CDTF">2026-05-26T04:38:03Z</dcterms:modified>
</cp:coreProperties>
</file>